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65f15315797b8/Gripper_Subsystem_Design/"/>
    </mc:Choice>
  </mc:AlternateContent>
  <xr:revisionPtr revIDLastSave="261" documentId="8_{E8D2FA8F-ECC5-4113-B09E-F6F82844ED84}" xr6:coauthVersionLast="47" xr6:coauthVersionMax="47" xr10:uidLastSave="{643B0C23-B7BF-4EDD-8EE9-CB97A462F15A}"/>
  <bookViews>
    <workbookView xWindow="-110" yWindow="-110" windowWidth="19420" windowHeight="11500" xr2:uid="{AC0D4E4B-3D7F-4F28-A2D1-F757CA6C019B}"/>
  </bookViews>
  <sheets>
    <sheet name="Gripper_Subsystem_De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" i="1"/>
</calcChain>
</file>

<file path=xl/sharedStrings.xml><?xml version="1.0" encoding="utf-8"?>
<sst xmlns="http://schemas.openxmlformats.org/spreadsheetml/2006/main" count="179" uniqueCount="111">
  <si>
    <t>Reference</t>
  </si>
  <si>
    <t>Qty</t>
  </si>
  <si>
    <t>Value</t>
  </si>
  <si>
    <t>Footprint</t>
  </si>
  <si>
    <t>Datasheet</t>
  </si>
  <si>
    <t>C1</t>
  </si>
  <si>
    <t>0.1uF</t>
  </si>
  <si>
    <t>Package_QFP:PQFP-160_28x28mm_P0.65mm</t>
  </si>
  <si>
    <t>C2</t>
  </si>
  <si>
    <t>10uF</t>
  </si>
  <si>
    <t>C3</t>
  </si>
  <si>
    <t>.33uF</t>
  </si>
  <si>
    <t>C4,C5</t>
  </si>
  <si>
    <t>.1uF</t>
  </si>
  <si>
    <t>D1</t>
  </si>
  <si>
    <t>LED</t>
  </si>
  <si>
    <t>F1</t>
  </si>
  <si>
    <t>1A</t>
  </si>
  <si>
    <t>Package_LCC:PLCC-84_29.3x29.3mm_P1.27mm</t>
  </si>
  <si>
    <t>J1</t>
  </si>
  <si>
    <t>Klaw_MK2_Servo</t>
  </si>
  <si>
    <t>J2</t>
  </si>
  <si>
    <t>Conn_01x04</t>
  </si>
  <si>
    <t>J3</t>
  </si>
  <si>
    <t>Conn_01x02</t>
  </si>
  <si>
    <t>J4</t>
  </si>
  <si>
    <t>JP1</t>
  </si>
  <si>
    <t>Jumper_2_Open</t>
  </si>
  <si>
    <t>R1</t>
  </si>
  <si>
    <t>10k</t>
  </si>
  <si>
    <t>R2</t>
  </si>
  <si>
    <t>FSR 402 (pressure sensor)</t>
  </si>
  <si>
    <t>R3</t>
  </si>
  <si>
    <t>330ohm</t>
  </si>
  <si>
    <t>R4</t>
  </si>
  <si>
    <t>SW1</t>
  </si>
  <si>
    <t>SW_Push</t>
  </si>
  <si>
    <t>Button_Switch_THT:SW_NKK_GW12LJP</t>
  </si>
  <si>
    <t>TP1,TP2</t>
  </si>
  <si>
    <t>TestPoint</t>
  </si>
  <si>
    <t>U1</t>
  </si>
  <si>
    <t>L7805_DMA_(CM)</t>
  </si>
  <si>
    <t>PIC18F57Q43 Curiosity Nano</t>
  </si>
  <si>
    <t>U1-CM1</t>
  </si>
  <si>
    <t>MCP6004</t>
  </si>
  <si>
    <t>PIC18F57Q43_Curiosity_Nano_CM1</t>
  </si>
  <si>
    <t>Voltage Rating (V)</t>
  </si>
  <si>
    <t>Power Rating (W)</t>
  </si>
  <si>
    <t>Manufacturer</t>
  </si>
  <si>
    <t>Manufacturer Part Number</t>
  </si>
  <si>
    <t>Supplier</t>
  </si>
  <si>
    <t>Unit Price ($)</t>
  </si>
  <si>
    <t>Total Cost ($)</t>
  </si>
  <si>
    <t>Quantity to Order</t>
  </si>
  <si>
    <t>Notes</t>
  </si>
  <si>
    <t>N/A</t>
  </si>
  <si>
    <t>5 V circuit</t>
  </si>
  <si>
    <t>≥32 V DC</t>
  </si>
  <si>
    <t>9 V input</t>
  </si>
  <si>
    <t>USB-powered</t>
  </si>
  <si>
    <t>Kitronik</t>
  </si>
  <si>
    <t>Microchip Technology</t>
  </si>
  <si>
    <t>Interlink Electronics</t>
  </si>
  <si>
    <t>TBD</t>
  </si>
  <si>
    <t>EV09Z19A</t>
  </si>
  <si>
    <t>MCP6004-I/P</t>
  </si>
  <si>
    <t>30-81794</t>
  </si>
  <si>
    <t>Already owned</t>
  </si>
  <si>
    <t>DigiKey</t>
  </si>
  <si>
    <t>RobotShop USA</t>
  </si>
  <si>
    <t>10k resistor; available in inventory</t>
  </si>
  <si>
    <t>330 ohm resistor; available in inventory</t>
  </si>
  <si>
    <t>0.1uF capacitor; available in inventory</t>
  </si>
  <si>
    <t>10uF capacitor; available in inventory</t>
  </si>
  <si>
    <t>Two 0.1uF capacitors; verify inventory</t>
  </si>
  <si>
    <t>0.33uF capacitor; available in inventory</t>
  </si>
  <si>
    <t>Debug LED; available in inventory</t>
  </si>
  <si>
    <t>1 A fuse; available in inventory</t>
  </si>
  <si>
    <t>J2: 4-pin header; available in inventory</t>
  </si>
  <si>
    <t>J3: 2-pin 9V input connector</t>
  </si>
  <si>
    <t>J4: 4-pin header; available in inventory</t>
  </si>
  <si>
    <t>JP1: 2-pin header and jumper shunt</t>
  </si>
  <si>
    <t>Fabricated on PCB</t>
  </si>
  <si>
    <t>TP1 and TP2; use PCB copper test pads, no separate parts required</t>
  </si>
  <si>
    <t>Pushbutton; available in inventory</t>
  </si>
  <si>
    <t>FH1</t>
  </si>
  <si>
    <t>Standard ATO/ATC inline fuse holder</t>
  </si>
  <si>
    <t>External wiring (not PCB mounted)</t>
  </si>
  <si>
    <t>≥9 V DC</t>
  </si>
  <si>
    <t>SK1</t>
  </si>
  <si>
    <t>14-pin DIP IC socket</t>
  </si>
  <si>
    <t>Socket_DIP:DIP-14_W7.62mm</t>
  </si>
  <si>
    <t>Order 4: 1 prototype, 1 PCB, 2 spares</t>
  </si>
  <si>
    <t>Order 3: 1 prototype, 1 final build, 1 spare</t>
  </si>
  <si>
    <t>Order 3: 1 prototype, 1 PCB, 1 spare; thermal check required</t>
  </si>
  <si>
    <t>Order 1 complete Klaw Mk2 kit with servo; no spare kit due to budget</t>
  </si>
  <si>
    <t>Littelfuse</t>
  </si>
  <si>
    <t>FHAC0001ZXJA</t>
  </si>
  <si>
    <t>CNC Tech</t>
  </si>
  <si>
    <t>243-14-1-03</t>
  </si>
  <si>
    <t>14-pin DIP socket; 1 for PCB, 1 spare</t>
  </si>
  <si>
    <t>STMicroelectronics</t>
  </si>
  <si>
    <t>L7805CV</t>
  </si>
  <si>
    <t>https://www.interlinkelectronics.com/fsr-402?utm</t>
  </si>
  <si>
    <t>https://www.microchip.com/en-us/product/MCP6004?utm</t>
  </si>
  <si>
    <t>https://www.st.com/en/power-management/l78.html</t>
  </si>
  <si>
    <t>https://www.microchip.com/en-us/development-tool/EV09Z19A?utm</t>
  </si>
  <si>
    <t>https://kitronik.co.uk/products/25104-klaw-mk2-robotic-gripper-kit?utm</t>
  </si>
  <si>
    <t>https://www.littelfuse.com/products/fuses-overcurrent-protection/fuse-holders-fuse-blocks-accessories/fuse-holders/in-line-fuse-holders/ato-fhac/fhac0001zxja</t>
  </si>
  <si>
    <t>https://www.digikey.com/en/products/detail/cnc-tech/243-14-1-03/3441569</t>
  </si>
  <si>
    <t>Unknown - existing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</si>
</sst>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1" applyNumberFormat="1" applyFont="1"/>
    <xf numFmtId="0" fontId="19" fillId="0" borderId="0" xfId="43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.com/en/power-management/l78.html" TargetMode="External"/><Relationship Id="rId7" Type="http://schemas.openxmlformats.org/officeDocument/2006/relationships/hyperlink" Target="https://www.digikey.com/en/products/detail/cnc-tech/243-14-1-03/3441569" TargetMode="External"/><Relationship Id="rId2" Type="http://schemas.openxmlformats.org/officeDocument/2006/relationships/hyperlink" Target="https://www.microchip.com/en-us/product/MCP6004?utm" TargetMode="External"/><Relationship Id="rId1" Type="http://schemas.openxmlformats.org/officeDocument/2006/relationships/hyperlink" Target="https://www.interlinkelectronics.com/fsr-402?utm" TargetMode="External"/><Relationship Id="rId6" Type="http://schemas.openxmlformats.org/officeDocument/2006/relationships/hyperlink" Target="https://www.littelfuse.com/products/fuses-overcurrent-protection/fuse-holders-fuse-blocks-accessories/fuse-holders/in-line-fuse-holders/ato-fhac/fhac0001zxja" TargetMode="External"/><Relationship Id="rId5" Type="http://schemas.openxmlformats.org/officeDocument/2006/relationships/hyperlink" Target="https://kitronik.co.uk/products/25104-klaw-mk2-robotic-gripper-kit?utm" TargetMode="External"/><Relationship Id="rId4" Type="http://schemas.openxmlformats.org/officeDocument/2006/relationships/hyperlink" Target="https://www.microchip.com/en-us/development-tool/EV09Z19A?u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305D-1061-4D46-B7BE-1B7470E883D1}">
  <dimension ref="A1:N23"/>
  <sheetViews>
    <sheetView tabSelected="1" topLeftCell="F1" workbookViewId="0">
      <selection activeCell="I10" sqref="I10"/>
    </sheetView>
  </sheetViews>
  <sheetFormatPr defaultRowHeight="14.5" x14ac:dyDescent="0.35"/>
  <cols>
    <col min="1" max="1" width="37.453125" bestFit="1" customWidth="1"/>
    <col min="3" max="3" width="30.1796875" bestFit="1" customWidth="1"/>
    <col min="4" max="4" width="40.7265625" bestFit="1" customWidth="1"/>
    <col min="5" max="5" width="48.81640625" bestFit="1" customWidth="1"/>
    <col min="6" max="6" width="15.1796875" bestFit="1" customWidth="1"/>
    <col min="7" max="7" width="14.6328125" bestFit="1" customWidth="1"/>
    <col min="8" max="8" width="23.81640625" bestFit="1" customWidth="1"/>
    <col min="9" max="9" width="22.54296875" bestFit="1" customWidth="1"/>
    <col min="10" max="10" width="17" bestFit="1" customWidth="1"/>
    <col min="11" max="11" width="11.36328125" style="2" bestFit="1" customWidth="1"/>
    <col min="12" max="12" width="11.6328125" bestFit="1" customWidth="1"/>
    <col min="13" max="13" width="14.81640625" bestFit="1" customWidth="1"/>
    <col min="14" max="14" width="55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s="2" t="s">
        <v>51</v>
      </c>
      <c r="L1" t="s">
        <v>52</v>
      </c>
      <c r="M1" t="s">
        <v>53</v>
      </c>
      <c r="N1" t="s">
        <v>54</v>
      </c>
    </row>
    <row r="2" spans="1:14" x14ac:dyDescent="0.35">
      <c r="A2" t="s">
        <v>5</v>
      </c>
      <c r="B2">
        <v>1</v>
      </c>
      <c r="C2" t="s">
        <v>6</v>
      </c>
      <c r="D2" t="s">
        <v>7</v>
      </c>
      <c r="F2">
        <v>16</v>
      </c>
      <c r="G2" s="1" t="s">
        <v>55</v>
      </c>
      <c r="J2" t="s">
        <v>67</v>
      </c>
      <c r="K2" s="2">
        <v>0</v>
      </c>
      <c r="L2">
        <f>M2*K2</f>
        <v>0</v>
      </c>
      <c r="M2">
        <v>0</v>
      </c>
      <c r="N2" t="s">
        <v>72</v>
      </c>
    </row>
    <row r="3" spans="1:14" x14ac:dyDescent="0.35">
      <c r="A3" t="s">
        <v>8</v>
      </c>
      <c r="B3">
        <v>1</v>
      </c>
      <c r="C3" t="s">
        <v>9</v>
      </c>
      <c r="F3">
        <v>16</v>
      </c>
      <c r="G3" s="1" t="s">
        <v>55</v>
      </c>
      <c r="J3" t="s">
        <v>67</v>
      </c>
      <c r="K3" s="2">
        <v>0</v>
      </c>
      <c r="L3">
        <f t="shared" ref="L3:L23" si="0">M3*K3</f>
        <v>0</v>
      </c>
      <c r="M3">
        <v>0</v>
      </c>
      <c r="N3" t="s">
        <v>73</v>
      </c>
    </row>
    <row r="4" spans="1:14" x14ac:dyDescent="0.35">
      <c r="A4" t="s">
        <v>10</v>
      </c>
      <c r="B4">
        <v>1</v>
      </c>
      <c r="C4" t="s">
        <v>11</v>
      </c>
      <c r="D4" t="s">
        <v>7</v>
      </c>
      <c r="F4">
        <v>25</v>
      </c>
      <c r="G4" s="1" t="s">
        <v>55</v>
      </c>
      <c r="J4" t="s">
        <v>67</v>
      </c>
      <c r="K4" s="2">
        <v>0</v>
      </c>
      <c r="L4">
        <f t="shared" si="0"/>
        <v>0</v>
      </c>
      <c r="M4">
        <v>0</v>
      </c>
      <c r="N4" t="s">
        <v>75</v>
      </c>
    </row>
    <row r="5" spans="1:14" x14ac:dyDescent="0.35">
      <c r="A5" t="s">
        <v>12</v>
      </c>
      <c r="B5">
        <v>2</v>
      </c>
      <c r="C5" t="s">
        <v>13</v>
      </c>
      <c r="D5" t="s">
        <v>7</v>
      </c>
      <c r="F5">
        <v>16</v>
      </c>
      <c r="G5" s="1" t="s">
        <v>55</v>
      </c>
      <c r="J5" t="s">
        <v>67</v>
      </c>
      <c r="K5" s="2">
        <v>0</v>
      </c>
      <c r="L5">
        <f t="shared" si="0"/>
        <v>0</v>
      </c>
      <c r="M5">
        <v>0</v>
      </c>
      <c r="N5" t="s">
        <v>74</v>
      </c>
    </row>
    <row r="6" spans="1:14" x14ac:dyDescent="0.35">
      <c r="A6" t="s">
        <v>14</v>
      </c>
      <c r="B6">
        <v>1</v>
      </c>
      <c r="C6" t="s">
        <v>15</v>
      </c>
      <c r="F6" s="1" t="s">
        <v>56</v>
      </c>
      <c r="G6" s="1" t="s">
        <v>55</v>
      </c>
      <c r="H6" t="s">
        <v>110</v>
      </c>
      <c r="J6" t="s">
        <v>67</v>
      </c>
      <c r="K6" s="2">
        <v>0</v>
      </c>
      <c r="L6">
        <f t="shared" si="0"/>
        <v>0</v>
      </c>
      <c r="M6">
        <v>0</v>
      </c>
      <c r="N6" t="s">
        <v>76</v>
      </c>
    </row>
    <row r="7" spans="1:14" x14ac:dyDescent="0.35">
      <c r="A7" t="s">
        <v>16</v>
      </c>
      <c r="B7">
        <v>1</v>
      </c>
      <c r="C7" t="s">
        <v>17</v>
      </c>
      <c r="D7" t="s">
        <v>18</v>
      </c>
      <c r="F7" s="1" t="s">
        <v>57</v>
      </c>
      <c r="G7" s="1" t="s">
        <v>55</v>
      </c>
      <c r="H7" t="s">
        <v>110</v>
      </c>
      <c r="J7" t="s">
        <v>67</v>
      </c>
      <c r="K7" s="2">
        <v>0</v>
      </c>
      <c r="L7">
        <f t="shared" si="0"/>
        <v>0</v>
      </c>
      <c r="M7">
        <v>0</v>
      </c>
      <c r="N7" t="s">
        <v>77</v>
      </c>
    </row>
    <row r="8" spans="1:14" x14ac:dyDescent="0.35">
      <c r="A8" t="s">
        <v>19</v>
      </c>
      <c r="B8">
        <v>1</v>
      </c>
      <c r="C8" t="s">
        <v>20</v>
      </c>
      <c r="E8" s="3" t="s">
        <v>107</v>
      </c>
      <c r="F8" s="1" t="s">
        <v>56</v>
      </c>
      <c r="G8" s="1" t="s">
        <v>55</v>
      </c>
      <c r="H8" s="1" t="s">
        <v>60</v>
      </c>
      <c r="I8">
        <v>25104</v>
      </c>
      <c r="J8" s="1" t="s">
        <v>69</v>
      </c>
      <c r="K8" s="2">
        <v>11.94</v>
      </c>
      <c r="L8">
        <f t="shared" si="0"/>
        <v>11.94</v>
      </c>
      <c r="M8">
        <v>1</v>
      </c>
      <c r="N8" t="s">
        <v>95</v>
      </c>
    </row>
    <row r="9" spans="1:14" x14ac:dyDescent="0.35">
      <c r="A9" t="s">
        <v>21</v>
      </c>
      <c r="B9">
        <v>1</v>
      </c>
      <c r="C9" t="s">
        <v>22</v>
      </c>
      <c r="F9" s="1" t="s">
        <v>56</v>
      </c>
      <c r="G9" s="1" t="s">
        <v>55</v>
      </c>
      <c r="H9" t="s">
        <v>110</v>
      </c>
      <c r="J9" t="s">
        <v>67</v>
      </c>
      <c r="K9" s="2">
        <v>0</v>
      </c>
      <c r="L9">
        <f t="shared" si="0"/>
        <v>0</v>
      </c>
      <c r="M9">
        <v>0</v>
      </c>
      <c r="N9" t="s">
        <v>78</v>
      </c>
    </row>
    <row r="10" spans="1:14" x14ac:dyDescent="0.35">
      <c r="A10" t="s">
        <v>23</v>
      </c>
      <c r="B10">
        <v>1</v>
      </c>
      <c r="C10" t="s">
        <v>24</v>
      </c>
      <c r="F10" s="1" t="s">
        <v>58</v>
      </c>
      <c r="G10" s="1" t="s">
        <v>55</v>
      </c>
      <c r="H10" t="s">
        <v>110</v>
      </c>
      <c r="J10" t="s">
        <v>67</v>
      </c>
      <c r="K10" s="2">
        <v>0</v>
      </c>
      <c r="L10">
        <f t="shared" si="0"/>
        <v>0</v>
      </c>
      <c r="M10">
        <v>0</v>
      </c>
      <c r="N10" t="s">
        <v>79</v>
      </c>
    </row>
    <row r="11" spans="1:14" x14ac:dyDescent="0.35">
      <c r="A11" t="s">
        <v>25</v>
      </c>
      <c r="B11">
        <v>1</v>
      </c>
      <c r="C11" t="s">
        <v>22</v>
      </c>
      <c r="D11" t="s">
        <v>7</v>
      </c>
      <c r="F11" s="1" t="s">
        <v>56</v>
      </c>
      <c r="G11" s="1" t="s">
        <v>55</v>
      </c>
      <c r="H11" t="s">
        <v>110</v>
      </c>
      <c r="J11" t="s">
        <v>67</v>
      </c>
      <c r="K11" s="2">
        <v>0</v>
      </c>
      <c r="L11">
        <f t="shared" si="0"/>
        <v>0</v>
      </c>
      <c r="M11">
        <v>0</v>
      </c>
      <c r="N11" t="s">
        <v>80</v>
      </c>
    </row>
    <row r="12" spans="1:14" x14ac:dyDescent="0.35">
      <c r="A12" t="s">
        <v>26</v>
      </c>
      <c r="B12">
        <v>1</v>
      </c>
      <c r="C12" t="s">
        <v>27</v>
      </c>
      <c r="F12" s="1" t="s">
        <v>56</v>
      </c>
      <c r="G12" s="1" t="s">
        <v>55</v>
      </c>
      <c r="H12" t="s">
        <v>110</v>
      </c>
      <c r="J12" t="s">
        <v>67</v>
      </c>
      <c r="K12" s="2">
        <v>0</v>
      </c>
      <c r="L12">
        <f t="shared" si="0"/>
        <v>0</v>
      </c>
      <c r="M12">
        <v>0</v>
      </c>
      <c r="N12" t="s">
        <v>81</v>
      </c>
    </row>
    <row r="13" spans="1:14" x14ac:dyDescent="0.35">
      <c r="A13" t="s">
        <v>45</v>
      </c>
      <c r="B13">
        <v>1</v>
      </c>
      <c r="C13" t="s">
        <v>42</v>
      </c>
      <c r="E13" s="3" t="s">
        <v>106</v>
      </c>
      <c r="F13" s="1" t="s">
        <v>59</v>
      </c>
      <c r="G13" s="1" t="s">
        <v>55</v>
      </c>
      <c r="H13" t="s">
        <v>61</v>
      </c>
      <c r="I13" s="1" t="s">
        <v>64</v>
      </c>
      <c r="J13" s="1" t="s">
        <v>67</v>
      </c>
      <c r="K13" s="2">
        <v>0</v>
      </c>
      <c r="L13">
        <f t="shared" si="0"/>
        <v>0</v>
      </c>
      <c r="M13">
        <v>0</v>
      </c>
      <c r="N13" t="s">
        <v>42</v>
      </c>
    </row>
    <row r="14" spans="1:14" x14ac:dyDescent="0.35">
      <c r="A14" t="s">
        <v>43</v>
      </c>
      <c r="B14">
        <v>1</v>
      </c>
      <c r="C14" t="s">
        <v>44</v>
      </c>
      <c r="E14" s="3" t="s">
        <v>104</v>
      </c>
      <c r="F14" s="1" t="s">
        <v>56</v>
      </c>
      <c r="G14" s="1" t="s">
        <v>55</v>
      </c>
      <c r="H14" t="s">
        <v>61</v>
      </c>
      <c r="I14" s="1" t="s">
        <v>65</v>
      </c>
      <c r="J14" t="s">
        <v>68</v>
      </c>
      <c r="K14" s="2">
        <v>0.6</v>
      </c>
      <c r="L14">
        <f t="shared" si="0"/>
        <v>2.4</v>
      </c>
      <c r="M14">
        <v>4</v>
      </c>
      <c r="N14" t="s">
        <v>92</v>
      </c>
    </row>
    <row r="15" spans="1:14" x14ac:dyDescent="0.35">
      <c r="A15" t="s">
        <v>28</v>
      </c>
      <c r="B15">
        <v>1</v>
      </c>
      <c r="C15" t="s">
        <v>29</v>
      </c>
      <c r="F15" s="1" t="s">
        <v>56</v>
      </c>
      <c r="G15">
        <v>0.25</v>
      </c>
      <c r="H15" t="s">
        <v>110</v>
      </c>
      <c r="K15" s="2">
        <v>0</v>
      </c>
      <c r="L15">
        <f t="shared" si="0"/>
        <v>0</v>
      </c>
      <c r="M15">
        <v>0</v>
      </c>
      <c r="N15" t="s">
        <v>70</v>
      </c>
    </row>
    <row r="16" spans="1:14" x14ac:dyDescent="0.35">
      <c r="A16" t="s">
        <v>30</v>
      </c>
      <c r="B16">
        <v>1</v>
      </c>
      <c r="C16" t="s">
        <v>31</v>
      </c>
      <c r="D16" t="s">
        <v>7</v>
      </c>
      <c r="E16" s="3" t="s">
        <v>103</v>
      </c>
      <c r="F16" s="1" t="s">
        <v>56</v>
      </c>
      <c r="G16" s="1" t="s">
        <v>55</v>
      </c>
      <c r="H16" t="s">
        <v>62</v>
      </c>
      <c r="I16" s="1" t="s">
        <v>66</v>
      </c>
      <c r="J16" s="1" t="s">
        <v>69</v>
      </c>
      <c r="K16" s="2">
        <v>6.6</v>
      </c>
      <c r="L16">
        <f t="shared" si="0"/>
        <v>19.799999999999997</v>
      </c>
      <c r="M16">
        <v>3</v>
      </c>
      <c r="N16" t="s">
        <v>93</v>
      </c>
    </row>
    <row r="17" spans="1:14" x14ac:dyDescent="0.35">
      <c r="A17" t="s">
        <v>32</v>
      </c>
      <c r="B17">
        <v>1</v>
      </c>
      <c r="C17" t="s">
        <v>33</v>
      </c>
      <c r="D17" t="s">
        <v>7</v>
      </c>
      <c r="F17" s="1" t="s">
        <v>56</v>
      </c>
      <c r="G17">
        <v>0.25</v>
      </c>
      <c r="H17" t="s">
        <v>110</v>
      </c>
      <c r="J17" s="1" t="s">
        <v>67</v>
      </c>
      <c r="K17" s="2">
        <v>0</v>
      </c>
      <c r="L17">
        <f t="shared" si="0"/>
        <v>0</v>
      </c>
      <c r="M17">
        <v>0</v>
      </c>
      <c r="N17" t="s">
        <v>71</v>
      </c>
    </row>
    <row r="18" spans="1:14" x14ac:dyDescent="0.35">
      <c r="A18" t="s">
        <v>34</v>
      </c>
      <c r="B18">
        <v>1</v>
      </c>
      <c r="C18" t="s">
        <v>29</v>
      </c>
      <c r="D18" t="s">
        <v>7</v>
      </c>
      <c r="F18" s="1" t="s">
        <v>56</v>
      </c>
      <c r="G18">
        <v>0.25</v>
      </c>
      <c r="H18" t="s">
        <v>110</v>
      </c>
      <c r="J18" s="1" t="s">
        <v>67</v>
      </c>
      <c r="K18" s="2">
        <v>0</v>
      </c>
      <c r="L18">
        <f t="shared" si="0"/>
        <v>0</v>
      </c>
      <c r="M18">
        <v>0</v>
      </c>
      <c r="N18" t="s">
        <v>70</v>
      </c>
    </row>
    <row r="19" spans="1:14" x14ac:dyDescent="0.35">
      <c r="A19" t="s">
        <v>35</v>
      </c>
      <c r="B19">
        <v>1</v>
      </c>
      <c r="C19" t="s">
        <v>36</v>
      </c>
      <c r="D19" t="s">
        <v>37</v>
      </c>
      <c r="F19" s="1" t="s">
        <v>56</v>
      </c>
      <c r="G19" t="s">
        <v>55</v>
      </c>
      <c r="H19" t="s">
        <v>110</v>
      </c>
      <c r="J19" t="s">
        <v>67</v>
      </c>
      <c r="K19" s="2">
        <v>0</v>
      </c>
      <c r="L19">
        <f t="shared" si="0"/>
        <v>0</v>
      </c>
      <c r="M19">
        <v>0</v>
      </c>
      <c r="N19" t="s">
        <v>84</v>
      </c>
    </row>
    <row r="20" spans="1:14" x14ac:dyDescent="0.35">
      <c r="A20" t="s">
        <v>38</v>
      </c>
      <c r="B20">
        <v>2</v>
      </c>
      <c r="C20" t="s">
        <v>39</v>
      </c>
      <c r="F20" s="1" t="s">
        <v>56</v>
      </c>
      <c r="G20" t="s">
        <v>55</v>
      </c>
      <c r="J20" t="s">
        <v>82</v>
      </c>
      <c r="K20" s="2">
        <v>0</v>
      </c>
      <c r="L20">
        <f t="shared" si="0"/>
        <v>0</v>
      </c>
      <c r="M20">
        <v>0</v>
      </c>
      <c r="N20" t="s">
        <v>83</v>
      </c>
    </row>
    <row r="21" spans="1:14" x14ac:dyDescent="0.35">
      <c r="A21" t="s">
        <v>40</v>
      </c>
      <c r="B21">
        <v>1</v>
      </c>
      <c r="C21" t="s">
        <v>41</v>
      </c>
      <c r="E21" s="3" t="s">
        <v>105</v>
      </c>
      <c r="F21" s="1" t="s">
        <v>58</v>
      </c>
      <c r="G21" t="s">
        <v>63</v>
      </c>
      <c r="H21" t="s">
        <v>101</v>
      </c>
      <c r="I21" t="s">
        <v>102</v>
      </c>
      <c r="J21" t="s">
        <v>68</v>
      </c>
      <c r="K21" s="2">
        <v>1.08</v>
      </c>
      <c r="L21">
        <f t="shared" si="0"/>
        <v>3.24</v>
      </c>
      <c r="M21">
        <v>3</v>
      </c>
      <c r="N21" t="s">
        <v>94</v>
      </c>
    </row>
    <row r="22" spans="1:14" x14ac:dyDescent="0.35">
      <c r="A22" t="s">
        <v>85</v>
      </c>
      <c r="B22">
        <v>1</v>
      </c>
      <c r="C22" t="s">
        <v>86</v>
      </c>
      <c r="D22" t="s">
        <v>87</v>
      </c>
      <c r="E22" s="3" t="s">
        <v>108</v>
      </c>
      <c r="F22" t="s">
        <v>88</v>
      </c>
      <c r="G22" t="s">
        <v>55</v>
      </c>
      <c r="H22" t="s">
        <v>96</v>
      </c>
      <c r="I22" t="s">
        <v>97</v>
      </c>
      <c r="J22" t="s">
        <v>68</v>
      </c>
      <c r="K22">
        <v>5.82</v>
      </c>
      <c r="L22">
        <f t="shared" si="0"/>
        <v>5.82</v>
      </c>
      <c r="M22">
        <v>1</v>
      </c>
      <c r="N22" t="s">
        <v>86</v>
      </c>
    </row>
    <row r="23" spans="1:14" x14ac:dyDescent="0.35">
      <c r="A23" t="s">
        <v>89</v>
      </c>
      <c r="B23">
        <v>1</v>
      </c>
      <c r="C23" t="s">
        <v>90</v>
      </c>
      <c r="D23" t="s">
        <v>91</v>
      </c>
      <c r="E23" s="3" t="s">
        <v>109</v>
      </c>
      <c r="F23" s="1" t="s">
        <v>55</v>
      </c>
      <c r="G23" t="s">
        <v>55</v>
      </c>
      <c r="H23" t="s">
        <v>98</v>
      </c>
      <c r="I23" t="s">
        <v>99</v>
      </c>
      <c r="J23" t="s">
        <v>68</v>
      </c>
      <c r="K23">
        <v>0.55000000000000004</v>
      </c>
      <c r="L23">
        <f t="shared" si="0"/>
        <v>1.1000000000000001</v>
      </c>
      <c r="M23">
        <v>2</v>
      </c>
      <c r="N23" t="s">
        <v>100</v>
      </c>
    </row>
  </sheetData>
  <phoneticPr fontId="18" type="noConversion"/>
  <hyperlinks>
    <hyperlink ref="E16" r:id="rId1" xr:uid="{7B2D4C3F-98EF-4172-8C82-E977CB07F50F}"/>
    <hyperlink ref="E14" r:id="rId2" xr:uid="{6B71515A-AA84-45A3-87F3-8C49FA7881BC}"/>
    <hyperlink ref="E21" r:id="rId3" xr:uid="{0FC2B2F2-EC87-49EC-8EDC-69336E6FB206}"/>
    <hyperlink ref="E13" r:id="rId4" xr:uid="{7E1E414F-23D5-4941-B8D0-589268EA6B82}"/>
    <hyperlink ref="E8" r:id="rId5" xr:uid="{F186E83F-A544-4018-A155-E84F569F5759}"/>
    <hyperlink ref="E22" r:id="rId6" xr:uid="{1F89CE7C-810E-44BE-A2F4-8DF8FCEB3C60}"/>
    <hyperlink ref="E23" r:id="rId7" xr:uid="{F23ECC74-276C-4371-B0D5-030C82167A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Gripper_Subsystem_Design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Canyon Miller</dc:creator>
  <cp:lastModifiedBy>Canyon Miller</cp:lastModifiedBy>
  <dcterms:created xsi:type="dcterms:W3CDTF">2026-10-29T23:56:26Z</dcterms:created>
  <dcterms:modified xsi:type="dcterms:W3CDTF">2026-10-30T04:33:03Z</dcterms:modified>
</cp:coreProperties>
</file>