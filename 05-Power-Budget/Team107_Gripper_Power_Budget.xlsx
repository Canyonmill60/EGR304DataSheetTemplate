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e165f15315797b8/Gripper_Subsystem_Design/"/>
    </mc:Choice>
  </mc:AlternateContent>
  <xr:revisionPtr revIDLastSave="0" documentId="8_{335F007E-151E-4F27-A71A-1F1765FAB6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wer Budg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B18" i="1"/>
  <c r="B19" i="1" s="1"/>
  <c r="C16" i="1"/>
  <c r="C18" i="1" s="1"/>
  <c r="C15" i="1"/>
  <c r="B26" i="1" l="1"/>
  <c r="B27" i="1"/>
  <c r="B21" i="1"/>
</calcChain>
</file>

<file path=xl/sharedStrings.xml><?xml version="1.0" encoding="utf-8"?>
<sst xmlns="http://schemas.openxmlformats.org/spreadsheetml/2006/main" count="76" uniqueCount="73">
  <si>
    <t>TEAM 107 — GRIPPER &amp; OBJECT HANDLING POWER BUDGET</t>
  </si>
  <si>
    <t>Project</t>
  </si>
  <si>
    <t>Simple Educational Robotic Arm</t>
  </si>
  <si>
    <t>Version</t>
  </si>
  <si>
    <t>Preliminary — 2026-10-30</t>
  </si>
  <si>
    <t>A. MAJOR COMPONENTS</t>
  </si>
  <si>
    <t>Component</t>
  </si>
  <si>
    <t>Part / detail</t>
  </si>
  <si>
    <t>Power rail</t>
  </si>
  <si>
    <t>Qty</t>
  </si>
  <si>
    <t>Current (mA)</t>
  </si>
  <si>
    <t>Basis / status</t>
  </si>
  <si>
    <t>Klaw Mk2 servo</t>
  </si>
  <si>
    <t>Kitronik 25104</t>
  </si>
  <si>
    <t>External 5 V</t>
  </si>
  <si>
    <t>Operating and stall currents unverified</t>
  </si>
  <si>
    <t>MCP6004 op-amp</t>
  </si>
  <si>
    <t>MCP6004-I/P</t>
  </si>
  <si>
    <t>Preliminary typical IC estimate; verify datasheet</t>
  </si>
  <si>
    <t>FSR 402 + 10 kΩ</t>
  </si>
  <si>
    <t>FSR 402</t>
  </si>
  <si>
    <t>Upper bound for divider at 5 V</t>
  </si>
  <si>
    <t>Debug LED + 330 Ω</t>
  </si>
  <si>
    <t>LED / R3</t>
  </si>
  <si>
    <t>PIC GPIO / USB</t>
  </si>
  <si>
    <t>9.09 mA only for hypothetical 5 V drive; actual GPIO voltage TBD</t>
  </si>
  <si>
    <t>PIC18F57Q43 Nano</t>
  </si>
  <si>
    <t>Curiosity Nano</t>
  </si>
  <si>
    <t>USB</t>
  </si>
  <si>
    <t>USB current TBD</t>
  </si>
  <si>
    <t>L7805 regulator</t>
  </si>
  <si>
    <t>L7805</t>
  </si>
  <si>
    <t>9 V in → 5 V out</t>
  </si>
  <si>
    <t>Quiescent current and thermal limit TBD</t>
  </si>
  <si>
    <t>B. POWER RAILS AND REQUIRED CURRENT</t>
  </si>
  <si>
    <t>External 5 V rail</t>
  </si>
  <si>
    <t>Power (W)</t>
  </si>
  <si>
    <t>Notes</t>
  </si>
  <si>
    <t>FSR divider</t>
  </si>
  <si>
    <t>Maximum divider current</t>
  </si>
  <si>
    <t>MCP6004</t>
  </si>
  <si>
    <t>Estimated typical</t>
  </si>
  <si>
    <t>Servo</t>
  </si>
  <si>
    <t>Enter verified peak current in B18</t>
  </si>
  <si>
    <t>Subtotal known</t>
  </si>
  <si>
    <t>Servo excluded until verified</t>
  </si>
  <si>
    <t>Total with servo</t>
  </si>
  <si>
    <t>Only valid when servo entered</t>
  </si>
  <si>
    <t>Safety margin</t>
  </si>
  <si>
    <t>Illustrative 25% margin</t>
  </si>
  <si>
    <t>Required 5 V current</t>
  </si>
  <si>
    <t>Margin applied to external rail</t>
  </si>
  <si>
    <t>C. REGULATOR &amp; INPUT SUPPLY</t>
  </si>
  <si>
    <t>Input voltage (V)</t>
  </si>
  <si>
    <t>Output voltage (V)</t>
  </si>
  <si>
    <t>Regulator voltage drop (V)</t>
  </si>
  <si>
    <t>Regulator dissipation (W)</t>
  </si>
  <si>
    <t>Approximation; omits ground current</t>
  </si>
  <si>
    <t>9 V supply current rating (mA)</t>
  </si>
  <si>
    <t>Unknown; enter verified supply rating</t>
  </si>
  <si>
    <t>9 V source suitability</t>
  </si>
  <si>
    <t>Pending</t>
  </si>
  <si>
    <t>Cannot validate without servo and supply rating</t>
  </si>
  <si>
    <t>D. USB-POWERED ITEMS</t>
  </si>
  <si>
    <t>PIC board current (mA)</t>
  </si>
  <si>
    <t>TBD, separate from 9 V input</t>
  </si>
  <si>
    <t>Debug LED (mA)</t>
  </si>
  <si>
    <t>Verify actual GPIO voltage and LED connection</t>
  </si>
  <si>
    <t>E. STATUS / ASSUMPTIONS</t>
  </si>
  <si>
    <t>Servo stall current unknown: no final peak current or regulator approval possible.</t>
  </si>
  <si>
    <t>L7805 thermal limits must be evaluated; 9 V to 5 V wastes about 4 W per ampere of load.</t>
  </si>
  <si>
    <t>Check the schematic for 5 V / USB interface, common ground, and GPIO drive voltage.</t>
  </si>
  <si>
    <t>Values are engineering estimates, not measured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</si>
</sst>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A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/>
  </sheetViews>
  <sheetFormatPr defaultRowHeight="14"/>
  <cols>
    <col min="1" max="1" width="35" customWidth="1"/>
    <col min="2" max="2" width="28" customWidth="1"/>
    <col min="3" max="3" width="24" customWidth="1"/>
    <col min="4" max="4" width="16" customWidth="1"/>
    <col min="5" max="5" width="19" customWidth="1"/>
    <col min="6" max="6" width="55" customWidth="1"/>
  </cols>
  <sheetData>
    <row r="1" spans="1:6" ht="28">
      <c r="A1" s="1" t="s">
        <v>0</v>
      </c>
      <c r="B1" s="1"/>
      <c r="C1" s="1"/>
      <c r="D1" s="1"/>
      <c r="E1" s="1"/>
      <c r="F1" s="1"/>
    </row>
    <row r="2" spans="1:6" ht="28">
      <c r="A2" s="2" t="s">
        <v>1</v>
      </c>
      <c r="B2" s="2" t="s">
        <v>2</v>
      </c>
      <c r="C2" s="2" t="s">
        <v>3</v>
      </c>
      <c r="D2" s="2" t="s">
        <v>4</v>
      </c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1" t="s">
        <v>5</v>
      </c>
      <c r="B4" s="1"/>
      <c r="C4" s="1"/>
      <c r="D4" s="1"/>
      <c r="E4" s="1"/>
      <c r="F4" s="1"/>
    </row>
    <row r="5" spans="1:6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1:6">
      <c r="A6" s="2" t="s">
        <v>12</v>
      </c>
      <c r="B6" s="2" t="s">
        <v>13</v>
      </c>
      <c r="C6" s="2" t="s">
        <v>14</v>
      </c>
      <c r="D6" s="2">
        <v>1</v>
      </c>
      <c r="E6" s="2"/>
      <c r="F6" s="2" t="s">
        <v>15</v>
      </c>
    </row>
    <row r="7" spans="1:6">
      <c r="A7" s="2" t="s">
        <v>16</v>
      </c>
      <c r="B7" s="2" t="s">
        <v>17</v>
      </c>
      <c r="C7" s="2" t="s">
        <v>14</v>
      </c>
      <c r="D7" s="2">
        <v>1</v>
      </c>
      <c r="E7" s="2">
        <v>0.4</v>
      </c>
      <c r="F7" s="2" t="s">
        <v>18</v>
      </c>
    </row>
    <row r="8" spans="1:6">
      <c r="A8" s="2" t="s">
        <v>19</v>
      </c>
      <c r="B8" s="2" t="s">
        <v>20</v>
      </c>
      <c r="C8" s="2" t="s">
        <v>14</v>
      </c>
      <c r="D8" s="2">
        <v>1</v>
      </c>
      <c r="E8" s="2">
        <v>0.5</v>
      </c>
      <c r="F8" s="2" t="s">
        <v>21</v>
      </c>
    </row>
    <row r="9" spans="1:6">
      <c r="A9" s="2" t="s">
        <v>22</v>
      </c>
      <c r="B9" s="2" t="s">
        <v>23</v>
      </c>
      <c r="C9" s="2" t="s">
        <v>24</v>
      </c>
      <c r="D9" s="2">
        <v>1</v>
      </c>
      <c r="E9" s="2"/>
      <c r="F9" s="2" t="s">
        <v>25</v>
      </c>
    </row>
    <row r="10" spans="1:6">
      <c r="A10" s="2" t="s">
        <v>26</v>
      </c>
      <c r="B10" s="2" t="s">
        <v>27</v>
      </c>
      <c r="C10" s="2" t="s">
        <v>28</v>
      </c>
      <c r="D10" s="2">
        <v>1</v>
      </c>
      <c r="E10" s="2"/>
      <c r="F10" s="2" t="s">
        <v>29</v>
      </c>
    </row>
    <row r="11" spans="1:6">
      <c r="A11" s="2" t="s">
        <v>30</v>
      </c>
      <c r="B11" s="2" t="s">
        <v>31</v>
      </c>
      <c r="C11" s="2" t="s">
        <v>32</v>
      </c>
      <c r="D11" s="2">
        <v>1</v>
      </c>
      <c r="E11" s="2"/>
      <c r="F11" s="2" t="s">
        <v>33</v>
      </c>
    </row>
    <row r="12" spans="1:6">
      <c r="A12" s="2"/>
      <c r="B12" s="2"/>
      <c r="C12" s="2"/>
      <c r="D12" s="2"/>
      <c r="E12" s="2"/>
      <c r="F12" s="2"/>
    </row>
    <row r="13" spans="1:6" ht="28">
      <c r="A13" s="1" t="s">
        <v>34</v>
      </c>
      <c r="B13" s="1"/>
      <c r="C13" s="1"/>
      <c r="D13" s="1"/>
      <c r="E13" s="1"/>
      <c r="F13" s="1"/>
    </row>
    <row r="14" spans="1:6">
      <c r="A14" s="3" t="s">
        <v>35</v>
      </c>
      <c r="B14" s="3" t="s">
        <v>10</v>
      </c>
      <c r="C14" s="3" t="s">
        <v>36</v>
      </c>
      <c r="D14" s="3" t="s">
        <v>37</v>
      </c>
      <c r="E14" s="3"/>
      <c r="F14" s="3"/>
    </row>
    <row r="15" spans="1:6" ht="28">
      <c r="A15" s="2" t="s">
        <v>38</v>
      </c>
      <c r="B15" s="2">
        <v>0.5</v>
      </c>
      <c r="C15" s="2">
        <f>B16/1000*5</f>
        <v>2E-3</v>
      </c>
      <c r="D15" s="2" t="s">
        <v>39</v>
      </c>
      <c r="E15" s="2"/>
      <c r="F15" s="2"/>
    </row>
    <row r="16" spans="1:6">
      <c r="A16" s="2" t="s">
        <v>40</v>
      </c>
      <c r="B16" s="2">
        <v>0.4</v>
      </c>
      <c r="C16" s="2">
        <f>B17/1000*5</f>
        <v>0</v>
      </c>
      <c r="D16" s="2" t="s">
        <v>41</v>
      </c>
      <c r="E16" s="2"/>
      <c r="F16" s="2"/>
    </row>
    <row r="17" spans="1:6" ht="28">
      <c r="A17" s="2" t="s">
        <v>42</v>
      </c>
      <c r="B17" s="2"/>
      <c r="C17" s="2"/>
      <c r="D17" s="2" t="s">
        <v>43</v>
      </c>
      <c r="E17" s="2"/>
      <c r="F17" s="2"/>
    </row>
    <row r="18" spans="1:6" ht="28">
      <c r="A18" s="2" t="s">
        <v>44</v>
      </c>
      <c r="B18" s="2">
        <f>SUM(B16:B17)</f>
        <v>0.4</v>
      </c>
      <c r="C18" s="2">
        <f>SUM(C16:C17)</f>
        <v>0</v>
      </c>
      <c r="D18" s="2" t="s">
        <v>45</v>
      </c>
      <c r="E18" s="2"/>
      <c r="F18" s="2"/>
    </row>
    <row r="19" spans="1:6" ht="28">
      <c r="A19" s="2" t="s">
        <v>46</v>
      </c>
      <c r="B19" s="2">
        <f>IF(B18="","TBD",SUM(B16:B18))</f>
        <v>0.8</v>
      </c>
      <c r="C19" s="2">
        <f>IF(B18="","TBD",B20/1000*5)</f>
        <v>1.25E-3</v>
      </c>
      <c r="D19" s="2" t="s">
        <v>47</v>
      </c>
      <c r="E19" s="2"/>
      <c r="F19" s="2"/>
    </row>
    <row r="20" spans="1:6" ht="28">
      <c r="A20" s="2" t="s">
        <v>48</v>
      </c>
      <c r="B20" s="2">
        <v>0.25</v>
      </c>
      <c r="C20" s="2"/>
      <c r="D20" s="2" t="s">
        <v>49</v>
      </c>
      <c r="E20" s="2"/>
      <c r="F20" s="2"/>
    </row>
    <row r="21" spans="1:6" ht="28">
      <c r="A21" s="2" t="s">
        <v>50</v>
      </c>
      <c r="B21" s="2" t="str">
        <f ca="1">IF(B18="","TBD",B20*(1+B21))</f>
        <v/>
      </c>
      <c r="C21" s="2"/>
      <c r="D21" s="2" t="s">
        <v>51</v>
      </c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1" t="s">
        <v>52</v>
      </c>
      <c r="B23" s="1"/>
      <c r="C23" s="1"/>
      <c r="D23" s="1"/>
      <c r="E23" s="1"/>
      <c r="F23" s="1"/>
    </row>
    <row r="24" spans="1:6">
      <c r="A24" s="2" t="s">
        <v>53</v>
      </c>
      <c r="B24" s="2">
        <v>9</v>
      </c>
      <c r="C24" s="2"/>
      <c r="D24" s="2"/>
      <c r="E24" s="2"/>
      <c r="F24" s="2"/>
    </row>
    <row r="25" spans="1:6">
      <c r="A25" s="2" t="s">
        <v>54</v>
      </c>
      <c r="B25" s="2">
        <v>5</v>
      </c>
      <c r="C25" s="2"/>
      <c r="D25" s="2"/>
      <c r="E25" s="2"/>
      <c r="F25" s="2"/>
    </row>
    <row r="26" spans="1:6">
      <c r="A26" s="2" t="s">
        <v>55</v>
      </c>
      <c r="B26" s="2" t="str">
        <f ca="1">B25-B26</f>
        <v/>
      </c>
      <c r="C26" s="2"/>
      <c r="D26" s="2"/>
      <c r="E26" s="2"/>
      <c r="F26" s="2"/>
    </row>
    <row r="27" spans="1:6" ht="42">
      <c r="A27" s="2" t="s">
        <v>56</v>
      </c>
      <c r="B27" s="2" t="str">
        <f ca="1">IF(B18="","TBD",B27*(B20/1000))</f>
        <v/>
      </c>
      <c r="C27" s="2"/>
      <c r="D27" s="2" t="s">
        <v>57</v>
      </c>
      <c r="E27" s="2"/>
      <c r="F27" s="2"/>
    </row>
    <row r="28" spans="1:6" ht="42">
      <c r="A28" s="2" t="s">
        <v>58</v>
      </c>
      <c r="B28" s="2"/>
      <c r="C28" s="2"/>
      <c r="D28" s="2" t="s">
        <v>59</v>
      </c>
      <c r="E28" s="2"/>
      <c r="F28" s="2"/>
    </row>
    <row r="29" spans="1:6" ht="42">
      <c r="A29" s="2" t="s">
        <v>60</v>
      </c>
      <c r="B29" s="2" t="s">
        <v>61</v>
      </c>
      <c r="C29" s="2"/>
      <c r="D29" s="2" t="s">
        <v>62</v>
      </c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1" t="s">
        <v>63</v>
      </c>
      <c r="B31" s="1"/>
      <c r="C31" s="1"/>
      <c r="D31" s="1"/>
      <c r="E31" s="1"/>
      <c r="F31" s="1"/>
    </row>
    <row r="32" spans="1:6" ht="28">
      <c r="A32" s="2" t="s">
        <v>64</v>
      </c>
      <c r="B32" s="2"/>
      <c r="C32" s="2"/>
      <c r="D32" s="2" t="s">
        <v>65</v>
      </c>
      <c r="E32" s="2"/>
      <c r="F32" s="2"/>
    </row>
    <row r="33" spans="1:6" ht="42">
      <c r="A33" s="2" t="s">
        <v>66</v>
      </c>
      <c r="B33" s="2"/>
      <c r="C33" s="2"/>
      <c r="D33" s="2" t="s">
        <v>67</v>
      </c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1" t="s">
        <v>68</v>
      </c>
      <c r="B35" s="1"/>
      <c r="C35" s="1"/>
      <c r="D35" s="1"/>
      <c r="E35" s="1"/>
      <c r="F35" s="1"/>
    </row>
    <row r="36" spans="1:6" ht="28">
      <c r="A36" s="2" t="s">
        <v>69</v>
      </c>
      <c r="B36" s="2"/>
      <c r="C36" s="2"/>
      <c r="D36" s="2"/>
      <c r="E36" s="2"/>
      <c r="F36" s="2"/>
    </row>
    <row r="37" spans="1:6" ht="42">
      <c r="A37" s="2" t="s">
        <v>70</v>
      </c>
      <c r="B37" s="2"/>
      <c r="C37" s="2"/>
      <c r="D37" s="2"/>
      <c r="E37" s="2"/>
      <c r="F37" s="2"/>
    </row>
    <row r="38" spans="1:6" ht="42">
      <c r="A38" s="2" t="s">
        <v>71</v>
      </c>
      <c r="B38" s="2"/>
      <c r="C38" s="2"/>
      <c r="D38" s="2"/>
      <c r="E38" s="2"/>
      <c r="F38" s="2"/>
    </row>
    <row r="39" spans="1:6" ht="28">
      <c r="A39" s="2" t="s">
        <v>72</v>
      </c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Canyon Miller</dc:creator>
  <cp:lastModifiedBy>Canyon Miller (Student)</cp:lastModifiedBy>
  <dcterms:created xsi:type="dcterms:W3CDTF">2026-10-30T08:35:24Z</dcterms:created>
  <dcterms:modified xsi:type="dcterms:W3CDTF">2026-10-30T08:35:24Z</dcterms:modified>
</cp:coreProperties>
</file>